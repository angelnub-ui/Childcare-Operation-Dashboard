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7C3D53CD-A43E-455C-B340-1B6F3ECDBB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Pivot Table 1" sheetId="2" r:id="rId2"/>
    <sheet name="Pivot Table 2" sheetId="3" r:id="rId3"/>
  </sheets>
  <calcPr calcId="191028"/>
  <pivotCaches>
    <pivotCache cacheId="23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1" l="1"/>
  <c r="I8" i="1"/>
  <c r="I6" i="1"/>
  <c r="I7" i="1"/>
  <c r="I5" i="1"/>
  <c r="I4" i="1"/>
  <c r="I3" i="1"/>
</calcChain>
</file>

<file path=xl/sharedStrings.xml><?xml version="1.0" encoding="utf-8"?>
<sst xmlns="http://schemas.openxmlformats.org/spreadsheetml/2006/main" count="128" uniqueCount="26">
  <si>
    <t>student_id</t>
  </si>
  <si>
    <t>attendance</t>
  </si>
  <si>
    <t>age_group</t>
  </si>
  <si>
    <t>classroom</t>
  </si>
  <si>
    <t>incident_count</t>
  </si>
  <si>
    <t>enrollment_date</t>
  </si>
  <si>
    <t>Present</t>
  </si>
  <si>
    <t>2-3</t>
  </si>
  <si>
    <t>Blue</t>
  </si>
  <si>
    <t>Column1</t>
  </si>
  <si>
    <t>Column2</t>
  </si>
  <si>
    <t>3-4</t>
  </si>
  <si>
    <t>Green</t>
  </si>
  <si>
    <t>Total students</t>
  </si>
  <si>
    <t>Absent</t>
  </si>
  <si>
    <t>4-5</t>
  </si>
  <si>
    <t>Yellow</t>
  </si>
  <si>
    <t>Total Absences</t>
  </si>
  <si>
    <t>Average Incident Per Student</t>
  </si>
  <si>
    <t>Age 2-3</t>
  </si>
  <si>
    <t>Age 3-4</t>
  </si>
  <si>
    <t>Age 4-5</t>
  </si>
  <si>
    <t>Total Incidents</t>
  </si>
  <si>
    <t>Sum of incident_count</t>
  </si>
  <si>
    <t>Grand Total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</si>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</sst>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2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[Childcare Operration Dashboard.xlsx]Pivot Table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'incident_count' by 'age_group' and 'classroom'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2'!$B$2:$B$3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2'!$A$4:$A$7</c:f>
              <c:strCache>
                <c:ptCount val="3"/>
                <c:pt idx="0">
                  <c:v>2-3</c:v>
                </c:pt>
                <c:pt idx="1">
                  <c:v>3-4</c:v>
                </c:pt>
                <c:pt idx="2">
                  <c:v>4-5</c:v>
                </c:pt>
              </c:strCache>
            </c:strRef>
          </c:cat>
          <c:val>
            <c:numRef>
              <c:f>'Pivot Table 2'!$B$4:$B$7</c:f>
              <c:numCache>
                <c:formatCode>General</c:formatCode>
                <c:ptCount val="3"/>
                <c:pt idx="0">
                  <c:v>18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50-4AC4-9AF2-DB3846193258}"/>
            </c:ext>
          </c:extLst>
        </c:ser>
        <c:ser>
          <c:idx val="1"/>
          <c:order val="1"/>
          <c:tx>
            <c:strRef>
              <c:f>'Pivot Table 2'!$C$2:$C$3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2'!$A$4:$A$7</c:f>
              <c:strCache>
                <c:ptCount val="3"/>
                <c:pt idx="0">
                  <c:v>2-3</c:v>
                </c:pt>
                <c:pt idx="1">
                  <c:v>3-4</c:v>
                </c:pt>
                <c:pt idx="2">
                  <c:v>4-5</c:v>
                </c:pt>
              </c:strCache>
            </c:strRef>
          </c:cat>
          <c:val>
            <c:numRef>
              <c:f>'Pivot Table 2'!$C$4:$C$7</c:f>
              <c:numCache>
                <c:formatCode>General</c:formatCode>
                <c:ptCount val="3"/>
                <c:pt idx="1">
                  <c:v>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50-4AC4-9AF2-DB3846193258}"/>
            </c:ext>
          </c:extLst>
        </c:ser>
        <c:ser>
          <c:idx val="2"/>
          <c:order val="2"/>
          <c:tx>
            <c:strRef>
              <c:f>'Pivot Table 2'!$D$2:$D$3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2'!$A$4:$A$7</c:f>
              <c:strCache>
                <c:ptCount val="3"/>
                <c:pt idx="0">
                  <c:v>2-3</c:v>
                </c:pt>
                <c:pt idx="1">
                  <c:v>3-4</c:v>
                </c:pt>
                <c:pt idx="2">
                  <c:v>4-5</c:v>
                </c:pt>
              </c:strCache>
            </c:strRef>
          </c:cat>
          <c:val>
            <c:numRef>
              <c:f>'Pivot Table 2'!$D$4:$D$7</c:f>
              <c:numCache>
                <c:formatCode>General</c:formatCode>
                <c:ptCount val="3"/>
                <c:pt idx="0">
                  <c:v>2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50-4AC4-9AF2-DB3846193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1150188039"/>
        <c:axId val="1175192583"/>
      </c:barChart>
      <c:catAx>
        <c:axId val="1150188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age_group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192583"/>
        <c:crosses val="autoZero"/>
        <c:auto val="1"/>
        <c:lblAlgn val="ctr"/>
        <c:lblOffset val="100"/>
        <c:noMultiLvlLbl val="0"/>
      </c:catAx>
      <c:valAx>
        <c:axId val="1175192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incident_count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188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 descr="Chart type: Clustered Bar. 'incident_count' by 'age_group' and 'classroom'&#10;&#10;Description automatically generated">
          <a:extLst>
            <a:ext uri="{FF2B5EF4-FFF2-40B4-BE49-F238E27FC236}">
              <a16:creationId xmlns:a16="http://schemas.microsoft.com/office/drawing/2014/main" id="{2FC0C24C-C7CD-772B-39EC-92F235807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9.630399305555" createdVersion="8" refreshedVersion="8" minRefreshableVersion="3" recordCount="32" xr:uid="{0FE8EBEC-CBFD-4D1F-BDEC-E445B0FF15E4}">
  <cacheSource type="worksheet">
    <worksheetSource name="Table1"/>
  </cacheSource>
  <cacheFields count="6">
    <cacheField name="student_id" numFmtId="0">
      <sharedItems containsSemiMixedTypes="0" containsString="0" containsNumber="1" containsInteger="1" minValue="1001" maxValue="1032"/>
    </cacheField>
    <cacheField name="attendance" numFmtId="0">
      <sharedItems/>
    </cacheField>
    <cacheField name="age_group" numFmtId="0">
      <sharedItems count="3">
        <s v="2-3"/>
        <s v="3-4"/>
        <s v="4-5"/>
      </sharedItems>
    </cacheField>
    <cacheField name="classroom" numFmtId="0">
      <sharedItems count="3">
        <s v="Blue"/>
        <s v="Green"/>
        <s v="Yellow"/>
      </sharedItems>
    </cacheField>
    <cacheField name="incident_count" numFmtId="0">
      <sharedItems containsSemiMixedTypes="0" containsString="0" containsNumber="1" containsInteger="1" minValue="0" maxValue="4"/>
    </cacheField>
    <cacheField name="enrollment_date" numFmtId="0">
      <sharedItems containsSemiMixedTypes="0" containsDate="1" containsString="0" containsMixedTypes="1" minDate="2024-01-15T00:00:00" maxDate="2026-07-2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01"/>
    <s v="Present"/>
    <x v="0"/>
    <x v="0"/>
    <n v="3"/>
    <d v="2024-01-15T00:00:00"/>
  </r>
  <r>
    <n v="1002"/>
    <s v="Present"/>
    <x v="1"/>
    <x v="1"/>
    <n v="1"/>
    <n v="40180"/>
  </r>
  <r>
    <n v="1003"/>
    <s v="Absent"/>
    <x v="2"/>
    <x v="2"/>
    <n v="0"/>
    <d v="2024-03-01T00:00:00"/>
  </r>
  <r>
    <n v="1004"/>
    <s v="Present"/>
    <x v="0"/>
    <x v="0"/>
    <n v="2"/>
    <d v="2024-01-20T00:00:00"/>
  </r>
  <r>
    <n v="1005"/>
    <s v="Present"/>
    <x v="1"/>
    <x v="1"/>
    <n v="0"/>
    <d v="2024-04-12T00:00:00"/>
  </r>
  <r>
    <n v="1006"/>
    <s v="Absent"/>
    <x v="2"/>
    <x v="2"/>
    <n v="2"/>
    <d v="2024-02-28T00:00:00"/>
  </r>
  <r>
    <n v="1007"/>
    <s v="Present"/>
    <x v="0"/>
    <x v="0"/>
    <n v="1"/>
    <d v="2024-03-15T00:00:00"/>
  </r>
  <r>
    <n v="1008"/>
    <s v="Present"/>
    <x v="1"/>
    <x v="1"/>
    <n v="0"/>
    <d v="2024-10-16T00:00:00"/>
  </r>
  <r>
    <n v="1009"/>
    <s v="Present"/>
    <x v="2"/>
    <x v="2"/>
    <n v="0"/>
    <d v="2024-05-13T00:00:00"/>
  </r>
  <r>
    <n v="1010"/>
    <s v="Absent"/>
    <x v="0"/>
    <x v="0"/>
    <n v="1"/>
    <d v="2024-06-07T00:00:00"/>
  </r>
  <r>
    <n v="1011"/>
    <s v="Present"/>
    <x v="1"/>
    <x v="1"/>
    <n v="2"/>
    <d v="2025-02-06T00:00:00"/>
  </r>
  <r>
    <n v="1012"/>
    <s v="Present"/>
    <x v="2"/>
    <x v="2"/>
    <n v="3"/>
    <d v="2025-05-15T00:00:00"/>
  </r>
  <r>
    <n v="1013"/>
    <s v="Present"/>
    <x v="0"/>
    <x v="0"/>
    <n v="1"/>
    <d v="2025-12-10T00:00:00"/>
  </r>
  <r>
    <n v="1014"/>
    <s v="Absent"/>
    <x v="1"/>
    <x v="1"/>
    <n v="0"/>
    <d v="2025-12-26T00:00:00"/>
  </r>
  <r>
    <n v="1015"/>
    <s v="Present"/>
    <x v="2"/>
    <x v="2"/>
    <n v="2"/>
    <d v="2026-01-05T00:00:00"/>
  </r>
  <r>
    <n v="1016"/>
    <s v="Present"/>
    <x v="0"/>
    <x v="0"/>
    <n v="0"/>
    <d v="2026-01-21T00:00:00"/>
  </r>
  <r>
    <n v="1017"/>
    <s v="Absent"/>
    <x v="1"/>
    <x v="1"/>
    <n v="0"/>
    <d v="2026-02-02T00:00:00"/>
  </r>
  <r>
    <n v="1018"/>
    <s v="Present"/>
    <x v="2"/>
    <x v="2"/>
    <n v="1"/>
    <d v="2026-02-19T00:00:00"/>
  </r>
  <r>
    <n v="1019"/>
    <s v="Present"/>
    <x v="0"/>
    <x v="0"/>
    <n v="2"/>
    <d v="2026-03-10T00:00:00"/>
  </r>
  <r>
    <n v="1020"/>
    <s v="Present"/>
    <x v="1"/>
    <x v="1"/>
    <n v="3"/>
    <d v="2026-03-24T00:00:00"/>
  </r>
  <r>
    <n v="1021"/>
    <s v="Present"/>
    <x v="2"/>
    <x v="2"/>
    <n v="0"/>
    <d v="2026-04-04T00:00:00"/>
  </r>
  <r>
    <n v="1022"/>
    <s v="Absent"/>
    <x v="0"/>
    <x v="0"/>
    <n v="4"/>
    <d v="2026-04-23T00:00:00"/>
  </r>
  <r>
    <n v="1023"/>
    <s v="Present"/>
    <x v="1"/>
    <x v="1"/>
    <n v="1"/>
    <d v="2026-05-05T00:00:00"/>
  </r>
  <r>
    <n v="1024"/>
    <s v="Absent"/>
    <x v="2"/>
    <x v="2"/>
    <n v="2"/>
    <d v="2026-05-19T00:00:00"/>
  </r>
  <r>
    <n v="1025"/>
    <s v="Present"/>
    <x v="0"/>
    <x v="0"/>
    <n v="3"/>
    <d v="2026-05-30T00:00:00"/>
  </r>
  <r>
    <n v="1026"/>
    <s v="Present"/>
    <x v="1"/>
    <x v="1"/>
    <n v="0"/>
    <d v="2026-06-09T00:00:00"/>
  </r>
  <r>
    <n v="1027"/>
    <s v="Present"/>
    <x v="2"/>
    <x v="2"/>
    <n v="0"/>
    <d v="2026-06-18T00:00:00"/>
  </r>
  <r>
    <n v="1028"/>
    <s v="Absent"/>
    <x v="0"/>
    <x v="0"/>
    <n v="1"/>
    <d v="2026-06-22T00:00:00"/>
  </r>
  <r>
    <n v="1029"/>
    <s v="Present"/>
    <x v="1"/>
    <x v="1"/>
    <n v="2"/>
    <d v="2026-07-08T00:00:00"/>
  </r>
  <r>
    <n v="1030"/>
    <s v="Present"/>
    <x v="2"/>
    <x v="0"/>
    <n v="1"/>
    <d v="2026-07-17T00:00:00"/>
  </r>
  <r>
    <n v="1031"/>
    <s v="Present"/>
    <x v="0"/>
    <x v="1"/>
    <n v="2"/>
    <d v="2026-07-23T00:00:00"/>
  </r>
  <r>
    <n v="1032"/>
    <s v="Present"/>
    <x v="1"/>
    <x v="2"/>
    <n v="3"/>
    <d v="2026-07-2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F70C2-7A91-4DBB-9DE4-E80297461B21}" name="PivotTable1" cacheId="2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6" firstHeaderRow="1" firstDataRow="1" firstDataCol="1"/>
  <pivotFields count="6">
    <pivotField compact="0" outline="0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ncident_c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C5CD7-1960-440B-BFDD-04424E2A6BF8}" name="PivotTable2" cacheId="2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E7" firstHeaderRow="1" firstDataRow="2" firstDataCol="1"/>
  <pivotFields count="6">
    <pivotField compact="0" outline="0" showAll="0"/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2"/>
    </i>
    <i>
      <x v="1"/>
    </i>
    <i t="grand">
      <x/>
    </i>
  </colItems>
  <dataFields count="1">
    <dataField name="i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06FFD6-BFB4-421C-B398-4EA84A2B6C77}" name="Table1" displayName="Table1" ref="A1:F33" totalsRowShown="0">
  <autoFilter ref="A1:F33" xr:uid="{7C06FFD6-BFB4-421C-B398-4EA84A2B6C77}"/>
  <tableColumns count="6">
    <tableColumn id="1" xr3:uid="{8D7EF757-867F-4572-BACB-CAF88DD2F97B}" name="student_id"/>
    <tableColumn id="2" xr3:uid="{6CB7BF00-C63E-4AAD-B08C-F1338A4B9F23}" name="attendance"/>
    <tableColumn id="3" xr3:uid="{7D80A32B-8371-4764-AC7F-6462E591A76A}" name="age_group" dataDxfId="1"/>
    <tableColumn id="4" xr3:uid="{4FF699BF-B2B9-4C84-B639-5800399F5CB5}" name="classroom"/>
    <tableColumn id="5" xr3:uid="{B401F4E3-B3BE-4C11-B1E2-C629D5D29362}" name="incident_count"/>
    <tableColumn id="6" xr3:uid="{AAC2B4AF-6158-4CF5-94D8-83BCECB5B6A2}" name="enrollment_date" dataDxfId="0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F677B0-32BA-4AEF-B37B-C1544E599E01}" name="Table2" displayName="Table2" ref="H2:I9" totalsRowShown="0">
  <autoFilter ref="H2:I9" xr:uid="{21F677B0-32BA-4AEF-B37B-C1544E599E01}"/>
  <tableColumns count="2">
    <tableColumn id="1" xr3:uid="{00B10810-D7A9-4197-B484-0D886D1261F0}" name="Column1"/>
    <tableColumn id="2" xr3:uid="{C79C0CCC-3A4C-4A98-9ED0-177006A38D55}" name="Column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H6" sqref="H6"/>
    </sheetView>
  </sheetViews>
  <sheetFormatPr defaultRowHeight="15"/>
  <cols>
    <col min="1" max="1" width="12.7109375" bestFit="1" customWidth="1"/>
    <col min="2" max="2" width="13.28515625" bestFit="1" customWidth="1"/>
    <col min="3" max="3" width="12.5703125" bestFit="1" customWidth="1"/>
    <col min="4" max="4" width="12.140625" bestFit="1" customWidth="1"/>
    <col min="5" max="5" width="16.5703125" bestFit="1" customWidth="1"/>
    <col min="6" max="6" width="18.140625" bestFit="1" customWidth="1"/>
    <col min="8" max="8" width="26.28515625" bestFit="1" customWidth="1"/>
    <col min="9" max="9" width="25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1001</v>
      </c>
      <c r="B2" t="s">
        <v>6</v>
      </c>
      <c r="C2" s="1" t="s">
        <v>7</v>
      </c>
      <c r="D2" t="s">
        <v>8</v>
      </c>
      <c r="E2">
        <v>3</v>
      </c>
      <c r="F2" s="2">
        <v>45306</v>
      </c>
      <c r="H2" t="s">
        <v>9</v>
      </c>
      <c r="I2" t="s">
        <v>10</v>
      </c>
    </row>
    <row r="3" spans="1:9">
      <c r="A3">
        <v>1002</v>
      </c>
      <c r="B3" t="s">
        <v>6</v>
      </c>
      <c r="C3" t="s">
        <v>11</v>
      </c>
      <c r="D3" t="s">
        <v>12</v>
      </c>
      <c r="E3">
        <v>1</v>
      </c>
      <c r="F3">
        <v>40180</v>
      </c>
      <c r="H3" t="s">
        <v>13</v>
      </c>
      <c r="I3">
        <f>COUNTA(A2:A33)</f>
        <v>32</v>
      </c>
    </row>
    <row r="4" spans="1:9">
      <c r="A4">
        <v>1003</v>
      </c>
      <c r="B4" t="s">
        <v>14</v>
      </c>
      <c r="C4" s="1" t="s">
        <v>15</v>
      </c>
      <c r="D4" t="s">
        <v>16</v>
      </c>
      <c r="E4">
        <v>0</v>
      </c>
      <c r="F4" s="2">
        <v>45352</v>
      </c>
      <c r="H4" t="s">
        <v>17</v>
      </c>
      <c r="I4">
        <f>COUNTIF(B2:B33,"Absent")</f>
        <v>8</v>
      </c>
    </row>
    <row r="5" spans="1:9">
      <c r="A5">
        <v>1004</v>
      </c>
      <c r="B5" t="s">
        <v>6</v>
      </c>
      <c r="C5" s="1" t="s">
        <v>7</v>
      </c>
      <c r="D5" t="s">
        <v>8</v>
      </c>
      <c r="E5">
        <v>2</v>
      </c>
      <c r="F5" s="2">
        <v>45311</v>
      </c>
      <c r="H5" t="s">
        <v>18</v>
      </c>
      <c r="I5" s="5">
        <f>AVERAGE(E2:E33)</f>
        <v>1.34375</v>
      </c>
    </row>
    <row r="6" spans="1:9">
      <c r="A6">
        <v>1005</v>
      </c>
      <c r="B6" t="s">
        <v>6</v>
      </c>
      <c r="C6" s="1" t="s">
        <v>11</v>
      </c>
      <c r="D6" t="s">
        <v>12</v>
      </c>
      <c r="E6">
        <v>0</v>
      </c>
      <c r="F6" s="2">
        <v>45394</v>
      </c>
      <c r="H6" t="s">
        <v>19</v>
      </c>
      <c r="I6">
        <f>COUNTIF(C2:C33,"2-3")</f>
        <v>11</v>
      </c>
    </row>
    <row r="7" spans="1:9">
      <c r="A7">
        <v>1006</v>
      </c>
      <c r="B7" t="s">
        <v>14</v>
      </c>
      <c r="C7" s="1" t="s">
        <v>15</v>
      </c>
      <c r="D7" t="s">
        <v>16</v>
      </c>
      <c r="E7">
        <v>2</v>
      </c>
      <c r="F7" s="2">
        <v>45350</v>
      </c>
      <c r="H7" t="s">
        <v>20</v>
      </c>
      <c r="I7">
        <f>COUNTIF(C2:C33,"3-4")</f>
        <v>11</v>
      </c>
    </row>
    <row r="8" spans="1:9">
      <c r="A8">
        <v>1007</v>
      </c>
      <c r="B8" t="s">
        <v>6</v>
      </c>
      <c r="C8" s="1" t="s">
        <v>7</v>
      </c>
      <c r="D8" t="s">
        <v>8</v>
      </c>
      <c r="E8">
        <v>1</v>
      </c>
      <c r="F8" s="2">
        <v>45366</v>
      </c>
      <c r="H8" t="s">
        <v>21</v>
      </c>
      <c r="I8">
        <f>COUNTIF(C2:C33,"4-5")</f>
        <v>10</v>
      </c>
    </row>
    <row r="9" spans="1:9">
      <c r="A9">
        <v>1008</v>
      </c>
      <c r="B9" t="s">
        <v>6</v>
      </c>
      <c r="C9" s="1" t="s">
        <v>11</v>
      </c>
      <c r="D9" t="s">
        <v>12</v>
      </c>
      <c r="E9">
        <v>0</v>
      </c>
      <c r="F9" s="2">
        <v>45581</v>
      </c>
      <c r="H9" t="s">
        <v>22</v>
      </c>
      <c r="I9">
        <f>SUM(E2:E33)</f>
        <v>43</v>
      </c>
    </row>
    <row r="10" spans="1:9">
      <c r="A10">
        <v>1009</v>
      </c>
      <c r="B10" t="s">
        <v>6</v>
      </c>
      <c r="C10" s="1" t="s">
        <v>15</v>
      </c>
      <c r="D10" t="s">
        <v>16</v>
      </c>
      <c r="E10">
        <v>0</v>
      </c>
      <c r="F10" s="2">
        <v>45425</v>
      </c>
    </row>
    <row r="11" spans="1:9">
      <c r="A11">
        <v>1010</v>
      </c>
      <c r="B11" t="s">
        <v>14</v>
      </c>
      <c r="C11" s="1" t="s">
        <v>7</v>
      </c>
      <c r="D11" t="s">
        <v>8</v>
      </c>
      <c r="E11">
        <v>1</v>
      </c>
      <c r="F11" s="2">
        <v>45450</v>
      </c>
    </row>
    <row r="12" spans="1:9">
      <c r="A12">
        <v>1011</v>
      </c>
      <c r="B12" t="s">
        <v>6</v>
      </c>
      <c r="C12" s="1" t="s">
        <v>11</v>
      </c>
      <c r="D12" t="s">
        <v>12</v>
      </c>
      <c r="E12">
        <v>2</v>
      </c>
      <c r="F12" s="2">
        <v>45694</v>
      </c>
    </row>
    <row r="13" spans="1:9">
      <c r="A13">
        <v>1012</v>
      </c>
      <c r="B13" t="s">
        <v>6</v>
      </c>
      <c r="C13" s="1" t="s">
        <v>15</v>
      </c>
      <c r="D13" t="s">
        <v>16</v>
      </c>
      <c r="E13">
        <v>3</v>
      </c>
      <c r="F13" s="2">
        <v>45792</v>
      </c>
    </row>
    <row r="14" spans="1:9">
      <c r="A14">
        <v>1013</v>
      </c>
      <c r="B14" t="s">
        <v>6</v>
      </c>
      <c r="C14" s="1" t="s">
        <v>7</v>
      </c>
      <c r="D14" t="s">
        <v>8</v>
      </c>
      <c r="E14">
        <v>1</v>
      </c>
      <c r="F14" s="2">
        <v>46001</v>
      </c>
    </row>
    <row r="15" spans="1:9">
      <c r="A15">
        <v>1014</v>
      </c>
      <c r="B15" t="s">
        <v>14</v>
      </c>
      <c r="C15" s="1" t="s">
        <v>11</v>
      </c>
      <c r="D15" t="s">
        <v>12</v>
      </c>
      <c r="E15">
        <v>0</v>
      </c>
      <c r="F15" s="2">
        <v>46017</v>
      </c>
    </row>
    <row r="16" spans="1:9">
      <c r="A16">
        <v>1015</v>
      </c>
      <c r="B16" t="s">
        <v>6</v>
      </c>
      <c r="C16" s="1" t="s">
        <v>15</v>
      </c>
      <c r="D16" t="s">
        <v>16</v>
      </c>
      <c r="E16">
        <v>2</v>
      </c>
      <c r="F16" s="2">
        <v>46027</v>
      </c>
    </row>
    <row r="17" spans="1:6">
      <c r="A17">
        <v>1016</v>
      </c>
      <c r="B17" t="s">
        <v>6</v>
      </c>
      <c r="C17" s="1" t="s">
        <v>7</v>
      </c>
      <c r="D17" t="s">
        <v>8</v>
      </c>
      <c r="E17">
        <v>0</v>
      </c>
      <c r="F17" s="2">
        <v>46043</v>
      </c>
    </row>
    <row r="18" spans="1:6">
      <c r="A18">
        <v>1017</v>
      </c>
      <c r="B18" t="s">
        <v>14</v>
      </c>
      <c r="C18" s="1" t="s">
        <v>11</v>
      </c>
      <c r="D18" t="s">
        <v>12</v>
      </c>
      <c r="E18">
        <v>0</v>
      </c>
      <c r="F18" s="2">
        <v>46055</v>
      </c>
    </row>
    <row r="19" spans="1:6">
      <c r="A19">
        <v>1018</v>
      </c>
      <c r="B19" t="s">
        <v>6</v>
      </c>
      <c r="C19" s="1" t="s">
        <v>15</v>
      </c>
      <c r="D19" t="s">
        <v>16</v>
      </c>
      <c r="E19">
        <v>1</v>
      </c>
      <c r="F19" s="2">
        <v>46072</v>
      </c>
    </row>
    <row r="20" spans="1:6">
      <c r="A20">
        <v>1019</v>
      </c>
      <c r="B20" t="s">
        <v>6</v>
      </c>
      <c r="C20" s="1" t="s">
        <v>7</v>
      </c>
      <c r="D20" t="s">
        <v>8</v>
      </c>
      <c r="E20">
        <v>2</v>
      </c>
      <c r="F20" s="2">
        <v>46091</v>
      </c>
    </row>
    <row r="21" spans="1:6">
      <c r="A21">
        <v>1020</v>
      </c>
      <c r="B21" t="s">
        <v>6</v>
      </c>
      <c r="C21" s="1" t="s">
        <v>11</v>
      </c>
      <c r="D21" t="s">
        <v>12</v>
      </c>
      <c r="E21">
        <v>3</v>
      </c>
      <c r="F21" s="2">
        <v>46105</v>
      </c>
    </row>
    <row r="22" spans="1:6">
      <c r="A22">
        <v>1021</v>
      </c>
      <c r="B22" t="s">
        <v>6</v>
      </c>
      <c r="C22" s="1" t="s">
        <v>15</v>
      </c>
      <c r="D22" t="s">
        <v>16</v>
      </c>
      <c r="E22">
        <v>0</v>
      </c>
      <c r="F22" s="2">
        <v>46116</v>
      </c>
    </row>
    <row r="23" spans="1:6">
      <c r="A23">
        <v>1022</v>
      </c>
      <c r="B23" t="s">
        <v>14</v>
      </c>
      <c r="C23" s="1" t="s">
        <v>7</v>
      </c>
      <c r="D23" t="s">
        <v>8</v>
      </c>
      <c r="E23">
        <v>4</v>
      </c>
      <c r="F23" s="2">
        <v>46135</v>
      </c>
    </row>
    <row r="24" spans="1:6">
      <c r="A24">
        <v>1023</v>
      </c>
      <c r="B24" t="s">
        <v>6</v>
      </c>
      <c r="C24" s="1" t="s">
        <v>11</v>
      </c>
      <c r="D24" t="s">
        <v>12</v>
      </c>
      <c r="E24">
        <v>1</v>
      </c>
      <c r="F24" s="2">
        <v>46147</v>
      </c>
    </row>
    <row r="25" spans="1:6">
      <c r="A25">
        <v>1024</v>
      </c>
      <c r="B25" t="s">
        <v>14</v>
      </c>
      <c r="C25" s="1" t="s">
        <v>15</v>
      </c>
      <c r="D25" t="s">
        <v>16</v>
      </c>
      <c r="E25">
        <v>2</v>
      </c>
      <c r="F25" s="2">
        <v>46161</v>
      </c>
    </row>
    <row r="26" spans="1:6">
      <c r="A26">
        <v>1025</v>
      </c>
      <c r="B26" t="s">
        <v>6</v>
      </c>
      <c r="C26" s="1" t="s">
        <v>7</v>
      </c>
      <c r="D26" t="s">
        <v>8</v>
      </c>
      <c r="E26">
        <v>3</v>
      </c>
      <c r="F26" s="2">
        <v>46172</v>
      </c>
    </row>
    <row r="27" spans="1:6">
      <c r="A27">
        <v>1026</v>
      </c>
      <c r="B27" t="s">
        <v>6</v>
      </c>
      <c r="C27" s="1" t="s">
        <v>11</v>
      </c>
      <c r="D27" t="s">
        <v>12</v>
      </c>
      <c r="E27">
        <v>0</v>
      </c>
      <c r="F27" s="2">
        <v>46182</v>
      </c>
    </row>
    <row r="28" spans="1:6">
      <c r="A28">
        <v>1027</v>
      </c>
      <c r="B28" t="s">
        <v>6</v>
      </c>
      <c r="C28" s="1" t="s">
        <v>15</v>
      </c>
      <c r="D28" t="s">
        <v>16</v>
      </c>
      <c r="E28">
        <v>0</v>
      </c>
      <c r="F28" s="2">
        <v>46191</v>
      </c>
    </row>
    <row r="29" spans="1:6">
      <c r="A29">
        <v>1028</v>
      </c>
      <c r="B29" t="s">
        <v>14</v>
      </c>
      <c r="C29" s="1" t="s">
        <v>7</v>
      </c>
      <c r="D29" t="s">
        <v>8</v>
      </c>
      <c r="E29">
        <v>1</v>
      </c>
      <c r="F29" s="2">
        <v>46195</v>
      </c>
    </row>
    <row r="30" spans="1:6">
      <c r="A30">
        <v>1029</v>
      </c>
      <c r="B30" t="s">
        <v>6</v>
      </c>
      <c r="C30" s="1" t="s">
        <v>11</v>
      </c>
      <c r="D30" t="s">
        <v>12</v>
      </c>
      <c r="E30">
        <v>2</v>
      </c>
      <c r="F30" s="2">
        <v>46211</v>
      </c>
    </row>
    <row r="31" spans="1:6">
      <c r="A31">
        <v>1030</v>
      </c>
      <c r="B31" t="s">
        <v>6</v>
      </c>
      <c r="C31" s="1" t="s">
        <v>15</v>
      </c>
      <c r="D31" t="s">
        <v>8</v>
      </c>
      <c r="E31">
        <v>1</v>
      </c>
      <c r="F31" s="2">
        <v>46220</v>
      </c>
    </row>
    <row r="32" spans="1:6">
      <c r="A32">
        <v>1031</v>
      </c>
      <c r="B32" t="s">
        <v>6</v>
      </c>
      <c r="C32" s="1" t="s">
        <v>7</v>
      </c>
      <c r="D32" t="s">
        <v>12</v>
      </c>
      <c r="E32">
        <v>2</v>
      </c>
      <c r="F32" s="2">
        <v>46226</v>
      </c>
    </row>
    <row r="33" spans="1:6">
      <c r="A33">
        <v>1032</v>
      </c>
      <c r="B33" t="s">
        <v>6</v>
      </c>
      <c r="C33" s="1" t="s">
        <v>11</v>
      </c>
      <c r="D33" t="s">
        <v>16</v>
      </c>
      <c r="E33">
        <v>3</v>
      </c>
      <c r="F33" s="2">
        <v>46231</v>
      </c>
    </row>
    <row r="34" spans="1:6">
      <c r="C34" s="1"/>
      <c r="F34" s="2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DEAF-DC12-4D1C-B7D4-979D66101680}">
  <dimension ref="A2:B6"/>
  <sheetViews>
    <sheetView workbookViewId="0">
      <selection activeCell="B31" sqref="B31"/>
    </sheetView>
  </sheetViews>
  <sheetFormatPr defaultRowHeight="15"/>
  <cols>
    <col min="1" max="1" width="13.42578125" bestFit="1" customWidth="1"/>
    <col min="2" max="2" width="21" bestFit="1" customWidth="1"/>
    <col min="3" max="3" width="7.140625" bestFit="1" customWidth="1"/>
    <col min="4" max="4" width="11.42578125" bestFit="1" customWidth="1"/>
  </cols>
  <sheetData>
    <row r="2" spans="1:2">
      <c r="A2" s="4" t="s">
        <v>2</v>
      </c>
      <c r="B2" t="s">
        <v>23</v>
      </c>
    </row>
    <row r="3" spans="1:2">
      <c r="A3" t="s">
        <v>7</v>
      </c>
      <c r="B3" s="3">
        <v>20</v>
      </c>
    </row>
    <row r="4" spans="1:2">
      <c r="A4" t="s">
        <v>11</v>
      </c>
      <c r="B4" s="3">
        <v>12</v>
      </c>
    </row>
    <row r="5" spans="1:2">
      <c r="A5" t="s">
        <v>15</v>
      </c>
      <c r="B5" s="3">
        <v>11</v>
      </c>
    </row>
    <row r="6" spans="1:2">
      <c r="A6" t="s">
        <v>24</v>
      </c>
      <c r="B6" s="3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9493F-5B3C-4958-9BD4-22764A6CA416}">
  <dimension ref="A2:E7"/>
  <sheetViews>
    <sheetView workbookViewId="0">
      <selection activeCell="N23" sqref="N23"/>
    </sheetView>
  </sheetViews>
  <sheetFormatPr defaultRowHeight="15"/>
  <cols>
    <col min="1" max="1" width="21" bestFit="1" customWidth="1"/>
    <col min="2" max="2" width="13" bestFit="1" customWidth="1"/>
    <col min="3" max="3" width="6.85546875" bestFit="1" customWidth="1"/>
    <col min="4" max="4" width="6.28515625" bestFit="1" customWidth="1"/>
    <col min="5" max="5" width="11.42578125" bestFit="1" customWidth="1"/>
  </cols>
  <sheetData>
    <row r="2" spans="1:5">
      <c r="A2" s="4" t="s">
        <v>25</v>
      </c>
      <c r="B2" s="4" t="s">
        <v>3</v>
      </c>
    </row>
    <row r="3" spans="1:5">
      <c r="A3" s="4" t="s">
        <v>2</v>
      </c>
      <c r="B3" t="s">
        <v>8</v>
      </c>
      <c r="C3" t="s">
        <v>16</v>
      </c>
      <c r="D3" t="s">
        <v>12</v>
      </c>
      <c r="E3" t="s">
        <v>24</v>
      </c>
    </row>
    <row r="4" spans="1:5">
      <c r="A4" t="s">
        <v>7</v>
      </c>
      <c r="B4" s="3">
        <v>18</v>
      </c>
      <c r="C4" s="3"/>
      <c r="D4" s="3">
        <v>2</v>
      </c>
      <c r="E4" s="3">
        <v>20</v>
      </c>
    </row>
    <row r="5" spans="1:5">
      <c r="A5" t="s">
        <v>11</v>
      </c>
      <c r="B5" s="3"/>
      <c r="C5" s="3">
        <v>3</v>
      </c>
      <c r="D5" s="3">
        <v>9</v>
      </c>
      <c r="E5" s="3">
        <v>12</v>
      </c>
    </row>
    <row r="6" spans="1:5">
      <c r="A6" t="s">
        <v>15</v>
      </c>
      <c r="B6" s="3">
        <v>1</v>
      </c>
      <c r="C6" s="3">
        <v>10</v>
      </c>
      <c r="D6" s="3"/>
      <c r="E6" s="3">
        <v>11</v>
      </c>
    </row>
    <row r="7" spans="1:5">
      <c r="A7" t="s">
        <v>24</v>
      </c>
      <c r="B7" s="3">
        <v>19</v>
      </c>
      <c r="C7" s="3">
        <v>13</v>
      </c>
      <c r="D7" s="3">
        <v>11</v>
      </c>
      <c r="E7" s="3">
        <v>43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2026-05-27T20:40:32Z</dcterms:created>
  <dcterms:modified xsi:type="dcterms:W3CDTF">2026-05-28T03:40:43Z</dcterms:modified>
  <cp:category/>
  <cp:contentStatus/>
</cp:coreProperties>
</file>